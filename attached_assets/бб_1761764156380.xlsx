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664"/>
  </bookViews>
  <sheets>
    <sheet name="ББ" sheetId="2" r:id="rId1"/>
    <sheet name="ОФР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3" l="1"/>
  <c r="C22" i="3"/>
  <c r="B22" i="3"/>
  <c r="E16" i="3"/>
  <c r="D7" i="3"/>
  <c r="C7" i="3"/>
  <c r="B7" i="3"/>
  <c r="D4" i="3"/>
  <c r="C4" i="3"/>
  <c r="B4" i="3"/>
  <c r="G33" i="2"/>
  <c r="F22" i="2"/>
  <c r="D20" i="2"/>
  <c r="C20" i="2"/>
  <c r="B20" i="2"/>
  <c r="D19" i="2"/>
  <c r="C19" i="2"/>
  <c r="B19" i="2"/>
  <c r="B18" i="2"/>
</calcChain>
</file>

<file path=xl/sharedStrings.xml><?xml version="1.0" encoding="utf-8"?>
<sst xmlns="http://schemas.openxmlformats.org/spreadsheetml/2006/main" count="95" uniqueCount="86">
  <si>
    <t>Наименование показателя</t>
  </si>
  <si>
    <t>На 31 декабря 2021 г., 
тыс. руб.</t>
  </si>
  <si>
    <t>На 31 декабря 2022 г., 
тыс. руб.</t>
  </si>
  <si>
    <t>На 31 декабря 2023 г., 
тыс. руб.</t>
  </si>
  <si>
    <t>АКТИВ</t>
  </si>
  <si>
    <t>I. ВНЕОБОРОТНЫЕ АКТИВЫ</t>
  </si>
  <si>
    <t>Нематериальные активы</t>
  </si>
  <si>
    <t>Результаты исследований и разработок</t>
  </si>
  <si>
    <t>Нематериальные поисковые активы</t>
  </si>
  <si>
    <t>Материальные поисковые активы</t>
  </si>
  <si>
    <t>Основные средства</t>
  </si>
  <si>
    <t>Доходные вложения в материальные ценности</t>
  </si>
  <si>
    <t>Финансовые вложения</t>
  </si>
  <si>
    <t>Отложенные налоговые активы</t>
  </si>
  <si>
    <t>Прочие внеоборотные активы</t>
  </si>
  <si>
    <t>Итого по разделу I</t>
  </si>
  <si>
    <t>II. ОБОРОТНЫЕ АКТИВЫ</t>
  </si>
  <si>
    <t>Запасы</t>
  </si>
  <si>
    <t xml:space="preserve">Налог на добавленную стоимость 
по приобретенным ценностям </t>
  </si>
  <si>
    <t>Дебиторская задолженность, в т.ч.</t>
  </si>
  <si>
    <t>- расчеты с поставщиками и подрядчиками</t>
  </si>
  <si>
    <t>- расчеты с покупателями и заказчиками</t>
  </si>
  <si>
    <t>- расчеты по налогам и сборам</t>
  </si>
  <si>
    <t>Финансовые вложения 
(за исключением денежных эквивалентов)</t>
  </si>
  <si>
    <t>Денежные средства и денежные эквиваленты</t>
  </si>
  <si>
    <t>- расчетные счета</t>
  </si>
  <si>
    <t>- валютные счета</t>
  </si>
  <si>
    <t>Прочие оборотные активы</t>
  </si>
  <si>
    <t>Итого по разделу II</t>
  </si>
  <si>
    <t>БАЛАНС</t>
  </si>
  <si>
    <t>ПАССИВ</t>
  </si>
  <si>
    <t>III. КАПИТАЛ И РЕЗЕРВЫ</t>
  </si>
  <si>
    <t>Уставный капитал (складочный капитал,
уставный фонд, вклады товарищей)</t>
  </si>
  <si>
    <t>Собственные акции, выкупленные у 
акционеров</t>
  </si>
  <si>
    <t>Переоценка внеоборотные активов</t>
  </si>
  <si>
    <t>Добавочный капитал (без переоценки)</t>
  </si>
  <si>
    <t>Резервный капитал</t>
  </si>
  <si>
    <t>Нераспределенная прибыль (непокрытый
убыток)</t>
  </si>
  <si>
    <t>Итого по разделу III</t>
  </si>
  <si>
    <t>IV. ДОЛГОСРОЧНЫЕ ОБЯЗАТЕЛЬСТВА</t>
  </si>
  <si>
    <t>Заемные средства</t>
  </si>
  <si>
    <t>Отложенные налоговые обязательства</t>
  </si>
  <si>
    <t>Оценочные обязательства</t>
  </si>
  <si>
    <t>Прочие обязательства</t>
  </si>
  <si>
    <t>Итого по разделу IV</t>
  </si>
  <si>
    <t>V. КРАТКОСРОЧНЫЕ ОБЯЗАТЕЛЬСТВА</t>
  </si>
  <si>
    <t>Кредиторская задолженность, в т.ч.</t>
  </si>
  <si>
    <t>Доходы будущих периодов</t>
  </si>
  <si>
    <t>Итого по разделу V</t>
  </si>
  <si>
    <t>Заемные средства:</t>
  </si>
  <si>
    <t>Собственные средства:</t>
  </si>
  <si>
    <t>За январь-декабрь 2021 г., 
тыс. руб.</t>
  </si>
  <si>
    <t>За январь-декабрь 2022 г., 
тыс. руб.</t>
  </si>
  <si>
    <t>За январь-декабрь 2023 г., 
тыс. руб.</t>
  </si>
  <si>
    <t>Выручка</t>
  </si>
  <si>
    <t>Себестоимость продаж</t>
  </si>
  <si>
    <t>Валовая прибыль (убыток)</t>
  </si>
  <si>
    <t>Коммерческие расходы</t>
  </si>
  <si>
    <t>Управленческие расходы</t>
  </si>
  <si>
    <t>Прибыль (убыток) от продаж</t>
  </si>
  <si>
    <t>Доходы от участия в других организациях</t>
  </si>
  <si>
    <t>Проценты к получению</t>
  </si>
  <si>
    <t>Проценты к уплате</t>
  </si>
  <si>
    <t>Прочие доходы, в т. ч.</t>
  </si>
  <si>
    <t>- доходы, связанные с реализацией основных
средств</t>
  </si>
  <si>
    <t>- прочие операционные доходы (продажа, 
покупка валюты)</t>
  </si>
  <si>
    <t>- курсовые разницы</t>
  </si>
  <si>
    <t>- доходы от списания основных средств</t>
  </si>
  <si>
    <t>Прочие расходы, в т. ч.</t>
  </si>
  <si>
    <t>- расходы на услуги банков</t>
  </si>
  <si>
    <t>- прочие операционные расходы (продажа,
покупка валюты)</t>
  </si>
  <si>
    <t>- прочие внереализационные расходы</t>
  </si>
  <si>
    <t>- остаточная стоимость проданных ОС</t>
  </si>
  <si>
    <t>Прибыль (убыток) до налообложения</t>
  </si>
  <si>
    <t>Налог на прибыль, в т.ч.</t>
  </si>
  <si>
    <t>- текущий налог на прибыль</t>
  </si>
  <si>
    <t>- отложенный налог на прибыль</t>
  </si>
  <si>
    <t>Прочее</t>
  </si>
  <si>
    <t>Чистая прибыль (убыток)</t>
  </si>
  <si>
    <t>Результат от переоценки внеоборотных
активов, не включаемый в чистую прибыль
(убыток) периода</t>
  </si>
  <si>
    <t>Результат от прочих операций, не 
включаемый в чистую прибыль (убыток) 
периода</t>
  </si>
  <si>
    <t xml:space="preserve">Налог на прибыль от операций, результат 
которых не включается в чистую прибыль 
(убыток) периода </t>
  </si>
  <si>
    <t>Совокупный финансовый результат периода</t>
  </si>
  <si>
    <t>Справочно</t>
  </si>
  <si>
    <t>Базовая прибыль (убыток) на акцию</t>
  </si>
  <si>
    <t>Разводненная прибыль (убыток) на акцию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</si>
</sst>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i/>
      <sz val="10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wrapText="1"/>
    </xf>
    <xf numFmtId="3" fontId="2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wrapText="1"/>
    </xf>
    <xf numFmtId="3" fontId="3" fillId="3" borderId="1" xfId="2" applyNumberFormat="1" applyFont="1" applyFill="1" applyBorder="1" applyAlignment="1">
      <alignment horizontal="center" vertical="center" wrapText="1"/>
    </xf>
    <xf numFmtId="165" fontId="1" fillId="0" borderId="0" xfId="1" applyNumberFormat="1"/>
    <xf numFmtId="3" fontId="1" fillId="0" borderId="0" xfId="1" applyNumberFormat="1"/>
    <xf numFmtId="0" fontId="1" fillId="0" borderId="0" xfId="1" applyAlignment="1">
      <alignment wrapText="1"/>
    </xf>
    <xf numFmtId="11" fontId="3" fillId="2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3" fontId="3" fillId="0" borderId="1" xfId="1" applyNumberFormat="1" applyFont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center" vertical="center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ББ!$A$53</c:f>
              <c:strCache>
                <c:ptCount val="1"/>
                <c:pt idx="0">
                  <c:v>БАЛАНС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ББ!$B$57:$D$57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ББ!$B$53:$D$53</c:f>
              <c:numCache>
                <c:formatCode>#,##0</c:formatCode>
                <c:ptCount val="3"/>
                <c:pt idx="0">
                  <c:v>39141924</c:v>
                </c:pt>
                <c:pt idx="1">
                  <c:v>44025413</c:v>
                </c:pt>
                <c:pt idx="2">
                  <c:v>48263621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A-40B0-AD39-AB2B1315C5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99159215"/>
        <c:axId val="1599152495"/>
      </c:barChart>
      <c:catAx>
        <c:axId val="159915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9152495"/>
        <c:crosses val="autoZero"/>
        <c:auto val="1"/>
        <c:lblAlgn val="ctr"/>
        <c:lblOffset val="100"/>
        <c:noMultiLvlLbl val="0"/>
      </c:catAx>
      <c:valAx>
        <c:axId val="15991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9915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42</xdr:row>
      <xdr:rowOff>34290</xdr:rowOff>
    </xdr:from>
    <xdr:to>
      <xdr:col>13</xdr:col>
      <xdr:colOff>99060</xdr:colOff>
      <xdr:row>57</xdr:row>
      <xdr:rowOff>34290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260663-9A43-4F5D-9B15-FB09333B5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topLeftCell="A43" workbookViewId="0">
      <selection activeCell="E7" sqref="E7"/>
    </sheetView>
  </sheetViews>
  <sheetFormatPr defaultColWidth="9.109375" defaultRowHeight="14.4" x14ac:dyDescent="0.3"/>
  <cols>
    <col min="1" max="1" width="39.88671875" style="12" bestFit="1" customWidth="1"/>
    <col min="2" max="4" width="13.5546875" style="14" customWidth="1"/>
    <col min="5" max="5" width="12.6640625" style="2" bestFit="1" customWidth="1"/>
    <col min="6" max="6" width="9.5546875" style="2" bestFit="1" customWidth="1"/>
    <col min="7" max="7" width="9.88671875" style="2" bestFit="1" customWidth="1"/>
    <col min="8" max="16384" width="9.109375" style="12"/>
  </cols>
  <sheetData>
    <row r="1" spans="1:4" ht="41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3"/>
      <c r="C2" s="3"/>
      <c r="D2" s="3"/>
    </row>
    <row r="3" spans="1:4" x14ac:dyDescent="0.3">
      <c r="A3" s="1" t="s">
        <v>5</v>
      </c>
      <c r="B3" s="3"/>
      <c r="C3" s="3"/>
      <c r="D3" s="3"/>
    </row>
    <row r="4" spans="1:4" x14ac:dyDescent="0.3">
      <c r="A4" s="4" t="s">
        <v>6</v>
      </c>
      <c r="B4" s="5">
        <v>3368</v>
      </c>
      <c r="C4" s="5">
        <v>1101045</v>
      </c>
      <c r="D4" s="5">
        <v>1033050</v>
      </c>
    </row>
    <row r="5" spans="1:4" x14ac:dyDescent="0.3">
      <c r="A5" s="4" t="s">
        <v>7</v>
      </c>
      <c r="B5" s="5">
        <v>211579</v>
      </c>
      <c r="C5" s="5">
        <v>0</v>
      </c>
      <c r="D5" s="5">
        <v>0</v>
      </c>
    </row>
    <row r="6" spans="1:4" x14ac:dyDescent="0.3">
      <c r="A6" s="4" t="s">
        <v>8</v>
      </c>
      <c r="B6" s="5">
        <v>62043</v>
      </c>
      <c r="C6" s="5">
        <v>98329</v>
      </c>
      <c r="D6" s="5">
        <v>81671</v>
      </c>
    </row>
    <row r="7" spans="1:4" x14ac:dyDescent="0.3">
      <c r="A7" s="4" t="s">
        <v>9</v>
      </c>
      <c r="B7" s="5">
        <v>746792</v>
      </c>
      <c r="C7" s="5">
        <v>782467</v>
      </c>
      <c r="D7" s="5">
        <v>791022</v>
      </c>
    </row>
    <row r="8" spans="1:4" x14ac:dyDescent="0.3">
      <c r="A8" s="4" t="s">
        <v>10</v>
      </c>
      <c r="B8" s="5">
        <v>13071693</v>
      </c>
      <c r="C8" s="5">
        <v>13121703</v>
      </c>
      <c r="D8" s="5">
        <v>13925510</v>
      </c>
    </row>
    <row r="9" spans="1:4" x14ac:dyDescent="0.3">
      <c r="A9" s="4" t="s">
        <v>11</v>
      </c>
      <c r="B9" s="5">
        <v>0</v>
      </c>
      <c r="C9" s="5">
        <v>0</v>
      </c>
      <c r="D9" s="5">
        <v>0</v>
      </c>
    </row>
    <row r="10" spans="1:4" x14ac:dyDescent="0.3">
      <c r="A10" s="4" t="s">
        <v>12</v>
      </c>
      <c r="B10" s="5">
        <v>15</v>
      </c>
      <c r="C10" s="5">
        <v>10</v>
      </c>
      <c r="D10" s="5">
        <v>10</v>
      </c>
    </row>
    <row r="11" spans="1:4" x14ac:dyDescent="0.3">
      <c r="A11" s="4" t="s">
        <v>13</v>
      </c>
      <c r="B11" s="5">
        <v>1571364</v>
      </c>
      <c r="C11" s="5">
        <v>1860682</v>
      </c>
      <c r="D11" s="5">
        <v>1759329</v>
      </c>
    </row>
    <row r="12" spans="1:4" x14ac:dyDescent="0.3">
      <c r="A12" s="4" t="s">
        <v>14</v>
      </c>
      <c r="B12" s="5">
        <v>4403889</v>
      </c>
      <c r="C12" s="5">
        <v>5860939</v>
      </c>
      <c r="D12" s="5">
        <v>7564154</v>
      </c>
    </row>
    <row r="13" spans="1:4" x14ac:dyDescent="0.3">
      <c r="A13" s="6" t="s">
        <v>15</v>
      </c>
      <c r="B13" s="7">
        <v>20070743</v>
      </c>
      <c r="C13" s="7">
        <v>22825172</v>
      </c>
      <c r="D13" s="7">
        <v>25154746</v>
      </c>
    </row>
    <row r="14" spans="1:4" x14ac:dyDescent="0.3">
      <c r="A14" s="1" t="s">
        <v>16</v>
      </c>
      <c r="B14" s="3"/>
      <c r="C14" s="3"/>
      <c r="D14" s="3"/>
    </row>
    <row r="15" spans="1:4" x14ac:dyDescent="0.3">
      <c r="A15" s="4" t="s">
        <v>17</v>
      </c>
      <c r="B15" s="5">
        <v>13581282</v>
      </c>
      <c r="C15" s="5">
        <v>14981566</v>
      </c>
      <c r="D15" s="5">
        <v>17147036</v>
      </c>
    </row>
    <row r="16" spans="1:4" ht="27.6" x14ac:dyDescent="0.3">
      <c r="A16" s="4" t="s">
        <v>18</v>
      </c>
      <c r="B16" s="5">
        <v>299589</v>
      </c>
      <c r="C16" s="5">
        <v>297408</v>
      </c>
      <c r="D16" s="5">
        <v>372828</v>
      </c>
    </row>
    <row r="17" spans="1:6" x14ac:dyDescent="0.3">
      <c r="A17" s="4" t="s">
        <v>19</v>
      </c>
      <c r="B17" s="5">
        <v>4092862</v>
      </c>
      <c r="C17" s="5">
        <v>5909837</v>
      </c>
      <c r="D17" s="5">
        <v>5578579</v>
      </c>
    </row>
    <row r="18" spans="1:6" x14ac:dyDescent="0.3">
      <c r="A18" s="8" t="s">
        <v>20</v>
      </c>
      <c r="B18" s="5">
        <f>46491</f>
        <v>46491</v>
      </c>
      <c r="C18" s="9">
        <v>172369</v>
      </c>
      <c r="D18" s="9">
        <v>55032</v>
      </c>
    </row>
    <row r="19" spans="1:6" x14ac:dyDescent="0.3">
      <c r="A19" s="8" t="s">
        <v>21</v>
      </c>
      <c r="B19" s="5">
        <f>9389+3030241</f>
        <v>3039630</v>
      </c>
      <c r="C19" s="9">
        <f>7644+4961727</f>
        <v>4969371</v>
      </c>
      <c r="D19" s="9">
        <f>5472+5011967</f>
        <v>5017439</v>
      </c>
    </row>
    <row r="20" spans="1:6" x14ac:dyDescent="0.3">
      <c r="A20" s="8" t="s">
        <v>22</v>
      </c>
      <c r="B20" s="5">
        <f>10331+996410</f>
        <v>1006741</v>
      </c>
      <c r="C20" s="9">
        <f>9132+758965</f>
        <v>768097</v>
      </c>
      <c r="D20" s="9">
        <f>9013+497095</f>
        <v>506108</v>
      </c>
    </row>
    <row r="21" spans="1:6" ht="27.6" x14ac:dyDescent="0.3">
      <c r="A21" s="4" t="s">
        <v>23</v>
      </c>
      <c r="B21" s="5">
        <v>10000</v>
      </c>
      <c r="C21" s="5">
        <v>0</v>
      </c>
      <c r="D21" s="5">
        <v>0</v>
      </c>
    </row>
    <row r="22" spans="1:6" x14ac:dyDescent="0.3">
      <c r="A22" s="4" t="s">
        <v>24</v>
      </c>
      <c r="B22" s="5">
        <v>0</v>
      </c>
      <c r="C22" s="5">
        <v>0</v>
      </c>
      <c r="D22" s="5">
        <v>0</v>
      </c>
      <c r="F22" s="2">
        <f>B26/B13</f>
        <v>0.95015321555360455</v>
      </c>
    </row>
    <row r="23" spans="1:6" x14ac:dyDescent="0.3">
      <c r="A23" s="8" t="s">
        <v>25</v>
      </c>
      <c r="B23" s="5">
        <v>0</v>
      </c>
      <c r="C23" s="5">
        <v>0</v>
      </c>
      <c r="D23" s="5">
        <v>0</v>
      </c>
    </row>
    <row r="24" spans="1:6" x14ac:dyDescent="0.3">
      <c r="A24" s="8" t="s">
        <v>26</v>
      </c>
      <c r="B24" s="5">
        <v>0</v>
      </c>
      <c r="C24" s="5">
        <v>0</v>
      </c>
      <c r="D24" s="5">
        <v>0</v>
      </c>
    </row>
    <row r="25" spans="1:6" x14ac:dyDescent="0.3">
      <c r="A25" s="4" t="s">
        <v>27</v>
      </c>
      <c r="B25" s="5">
        <v>1086548</v>
      </c>
      <c r="C25" s="5">
        <v>11430</v>
      </c>
      <c r="D25" s="5">
        <v>10432</v>
      </c>
    </row>
    <row r="26" spans="1:6" x14ac:dyDescent="0.3">
      <c r="A26" s="6" t="s">
        <v>28</v>
      </c>
      <c r="B26" s="7">
        <v>19070281</v>
      </c>
      <c r="C26" s="7">
        <v>21200241</v>
      </c>
      <c r="D26" s="7">
        <v>23108875</v>
      </c>
      <c r="E26" s="10"/>
    </row>
    <row r="27" spans="1:6" x14ac:dyDescent="0.3">
      <c r="A27" s="6" t="s">
        <v>29</v>
      </c>
      <c r="B27" s="7">
        <v>39141024</v>
      </c>
      <c r="C27" s="7">
        <v>44025413</v>
      </c>
      <c r="D27" s="7">
        <v>48263621</v>
      </c>
    </row>
    <row r="28" spans="1:6" x14ac:dyDescent="0.3">
      <c r="A28" s="1" t="s">
        <v>30</v>
      </c>
      <c r="B28" s="3"/>
      <c r="C28" s="3"/>
      <c r="D28" s="3"/>
      <c r="F28" s="11"/>
    </row>
    <row r="29" spans="1:6" x14ac:dyDescent="0.3">
      <c r="A29" s="1" t="s">
        <v>31</v>
      </c>
      <c r="B29" s="3"/>
      <c r="C29" s="3"/>
      <c r="D29" s="3"/>
    </row>
    <row r="30" spans="1:6" ht="27.6" x14ac:dyDescent="0.3">
      <c r="A30" s="4" t="s">
        <v>32</v>
      </c>
      <c r="B30" s="5">
        <v>1176616</v>
      </c>
      <c r="C30" s="5">
        <v>1176616</v>
      </c>
      <c r="D30" s="5">
        <v>1176616</v>
      </c>
    </row>
    <row r="31" spans="1:6" ht="27.6" x14ac:dyDescent="0.3">
      <c r="A31" s="4" t="s">
        <v>33</v>
      </c>
      <c r="B31" s="5">
        <v>0</v>
      </c>
      <c r="C31" s="5">
        <v>0</v>
      </c>
      <c r="D31" s="5">
        <v>0</v>
      </c>
    </row>
    <row r="32" spans="1:6" x14ac:dyDescent="0.3">
      <c r="A32" s="4" t="s">
        <v>34</v>
      </c>
      <c r="B32" s="5">
        <v>0</v>
      </c>
      <c r="C32" s="5">
        <v>0</v>
      </c>
      <c r="D32" s="5">
        <v>0</v>
      </c>
    </row>
    <row r="33" spans="1:7" x14ac:dyDescent="0.3">
      <c r="A33" s="4" t="s">
        <v>35</v>
      </c>
      <c r="B33" s="5"/>
      <c r="C33" s="5">
        <v>11669062</v>
      </c>
      <c r="D33" s="5">
        <v>11669062</v>
      </c>
      <c r="G33" s="11">
        <f>D26-D52</f>
        <v>15017855</v>
      </c>
    </row>
    <row r="34" spans="1:7" x14ac:dyDescent="0.3">
      <c r="A34" s="4" t="s">
        <v>36</v>
      </c>
      <c r="B34" s="5">
        <v>177077</v>
      </c>
      <c r="C34" s="5">
        <v>177077</v>
      </c>
      <c r="D34" s="5">
        <v>177077</v>
      </c>
    </row>
    <row r="35" spans="1:7" ht="27.6" x14ac:dyDescent="0.3">
      <c r="A35" s="4" t="s">
        <v>37</v>
      </c>
      <c r="B35" s="5">
        <v>13882517</v>
      </c>
      <c r="C35" s="5">
        <v>1979967</v>
      </c>
      <c r="D35" s="5">
        <v>5511421</v>
      </c>
    </row>
    <row r="36" spans="1:7" x14ac:dyDescent="0.3">
      <c r="A36" s="6" t="s">
        <v>38</v>
      </c>
      <c r="B36" s="7">
        <v>15236210</v>
      </c>
      <c r="C36" s="7">
        <v>15002722</v>
      </c>
      <c r="D36" s="7">
        <v>18534176</v>
      </c>
    </row>
    <row r="37" spans="1:7" x14ac:dyDescent="0.3">
      <c r="A37" s="1" t="s">
        <v>39</v>
      </c>
      <c r="B37" s="3"/>
      <c r="C37" s="3"/>
      <c r="D37" s="3"/>
    </row>
    <row r="38" spans="1:7" x14ac:dyDescent="0.3">
      <c r="A38" s="4" t="s">
        <v>40</v>
      </c>
      <c r="B38" s="5">
        <v>10349223</v>
      </c>
      <c r="C38" s="5">
        <v>11449170</v>
      </c>
      <c r="D38" s="5">
        <v>9949170</v>
      </c>
    </row>
    <row r="39" spans="1:7" x14ac:dyDescent="0.3">
      <c r="A39" s="4" t="s">
        <v>41</v>
      </c>
      <c r="B39" s="5">
        <v>2362614</v>
      </c>
      <c r="C39" s="5">
        <v>2214068</v>
      </c>
      <c r="D39" s="5">
        <v>2201017</v>
      </c>
    </row>
    <row r="40" spans="1:7" x14ac:dyDescent="0.3">
      <c r="A40" s="4" t="s">
        <v>42</v>
      </c>
      <c r="B40" s="5">
        <v>1817943</v>
      </c>
      <c r="C40" s="5">
        <v>2892919</v>
      </c>
      <c r="D40" s="5">
        <v>2643776</v>
      </c>
    </row>
    <row r="41" spans="1:7" x14ac:dyDescent="0.3">
      <c r="A41" s="4" t="s">
        <v>43</v>
      </c>
      <c r="B41" s="5">
        <v>3601413</v>
      </c>
      <c r="C41" s="5">
        <v>5470639</v>
      </c>
      <c r="D41" s="5">
        <v>6844462</v>
      </c>
    </row>
    <row r="42" spans="1:7" x14ac:dyDescent="0.3">
      <c r="A42" s="6" t="s">
        <v>44</v>
      </c>
      <c r="B42" s="7">
        <v>18131193</v>
      </c>
      <c r="C42" s="7">
        <v>22026796</v>
      </c>
      <c r="D42" s="7">
        <v>21638425</v>
      </c>
    </row>
    <row r="43" spans="1:7" x14ac:dyDescent="0.3">
      <c r="A43" s="1" t="s">
        <v>45</v>
      </c>
      <c r="B43" s="3"/>
      <c r="C43" s="3"/>
      <c r="D43" s="3"/>
    </row>
    <row r="44" spans="1:7" x14ac:dyDescent="0.3">
      <c r="A44" s="4" t="s">
        <v>40</v>
      </c>
      <c r="B44" s="5">
        <v>329146</v>
      </c>
      <c r="C44" s="5">
        <v>0</v>
      </c>
      <c r="D44" s="5">
        <v>0</v>
      </c>
    </row>
    <row r="45" spans="1:7" x14ac:dyDescent="0.3">
      <c r="A45" s="4" t="s">
        <v>46</v>
      </c>
      <c r="B45" s="5">
        <v>4490131</v>
      </c>
      <c r="C45" s="5">
        <v>5661810</v>
      </c>
      <c r="D45" s="5">
        <v>6728951</v>
      </c>
    </row>
    <row r="46" spans="1:7" x14ac:dyDescent="0.3">
      <c r="A46" s="8" t="s">
        <v>20</v>
      </c>
      <c r="B46" s="5">
        <v>2461323</v>
      </c>
      <c r="C46" s="5">
        <v>3417556</v>
      </c>
      <c r="D46" s="5">
        <v>3130478</v>
      </c>
    </row>
    <row r="47" spans="1:7" x14ac:dyDescent="0.3">
      <c r="A47" s="8" t="s">
        <v>22</v>
      </c>
      <c r="B47" s="5">
        <v>1119983</v>
      </c>
      <c r="C47" s="5">
        <v>692277</v>
      </c>
      <c r="D47" s="5">
        <v>1169806</v>
      </c>
    </row>
    <row r="48" spans="1:7" x14ac:dyDescent="0.3">
      <c r="A48" s="8" t="s">
        <v>21</v>
      </c>
      <c r="B48" s="5">
        <v>96</v>
      </c>
      <c r="C48" s="5">
        <v>0</v>
      </c>
      <c r="D48" s="5">
        <v>0</v>
      </c>
    </row>
    <row r="49" spans="1:4" x14ac:dyDescent="0.3">
      <c r="A49" s="4" t="s">
        <v>47</v>
      </c>
      <c r="B49" s="5">
        <v>70</v>
      </c>
      <c r="C49" s="5">
        <v>19</v>
      </c>
      <c r="D49" s="5">
        <v>19</v>
      </c>
    </row>
    <row r="50" spans="1:4" x14ac:dyDescent="0.3">
      <c r="A50" s="4" t="s">
        <v>42</v>
      </c>
      <c r="B50" s="5">
        <v>828201</v>
      </c>
      <c r="C50" s="5">
        <v>1055100</v>
      </c>
      <c r="D50" s="5">
        <v>1250722</v>
      </c>
    </row>
    <row r="51" spans="1:4" x14ac:dyDescent="0.3">
      <c r="A51" s="4" t="s">
        <v>43</v>
      </c>
      <c r="B51" s="5">
        <v>126073</v>
      </c>
      <c r="C51" s="5">
        <v>278966</v>
      </c>
      <c r="D51" s="5">
        <v>111328</v>
      </c>
    </row>
    <row r="52" spans="1:4" x14ac:dyDescent="0.3">
      <c r="A52" s="6" t="s">
        <v>48</v>
      </c>
      <c r="B52" s="7">
        <v>5773621</v>
      </c>
      <c r="C52" s="7">
        <v>6995895</v>
      </c>
      <c r="D52" s="7">
        <v>8091020</v>
      </c>
    </row>
    <row r="53" spans="1:4" x14ac:dyDescent="0.3">
      <c r="A53" s="6" t="s">
        <v>29</v>
      </c>
      <c r="B53" s="7">
        <v>39141924</v>
      </c>
      <c r="C53" s="7">
        <v>44025413</v>
      </c>
      <c r="D53" s="7">
        <v>48263621</v>
      </c>
    </row>
    <row r="54" spans="1:4" x14ac:dyDescent="0.3">
      <c r="A54" s="4" t="s">
        <v>49</v>
      </c>
      <c r="B54" s="3"/>
      <c r="C54" s="13"/>
      <c r="D54" s="13"/>
    </row>
    <row r="55" spans="1:4" x14ac:dyDescent="0.3">
      <c r="A55" s="4" t="s">
        <v>50</v>
      </c>
      <c r="B55" s="3"/>
      <c r="C55" s="13"/>
      <c r="D55" s="3"/>
    </row>
    <row r="57" spans="1:4" x14ac:dyDescent="0.3">
      <c r="B57" s="14">
        <v>2021</v>
      </c>
      <c r="C57" s="14">
        <v>2022</v>
      </c>
      <c r="D57" s="14">
        <v>2023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19" workbookViewId="0">
      <selection activeCell="C16" sqref="C16"/>
    </sheetView>
  </sheetViews>
  <sheetFormatPr defaultRowHeight="14.4" x14ac:dyDescent="0.3"/>
  <cols>
    <col min="1" max="1" width="38" style="12" bestFit="1" customWidth="1"/>
    <col min="2" max="2" width="16.109375" style="2" customWidth="1"/>
    <col min="3" max="4" width="16" style="2" customWidth="1"/>
    <col min="5" max="16384" width="8.88671875" style="2"/>
  </cols>
  <sheetData>
    <row r="1" spans="1:5" ht="41.4" x14ac:dyDescent="0.3">
      <c r="A1" s="1" t="s">
        <v>0</v>
      </c>
      <c r="B1" s="1" t="s">
        <v>51</v>
      </c>
      <c r="C1" s="1" t="s">
        <v>52</v>
      </c>
      <c r="D1" s="1" t="s">
        <v>53</v>
      </c>
    </row>
    <row r="2" spans="1:5" x14ac:dyDescent="0.3">
      <c r="A2" s="15" t="s">
        <v>54</v>
      </c>
      <c r="B2" s="16">
        <v>23536798</v>
      </c>
      <c r="C2" s="16">
        <v>29048660</v>
      </c>
      <c r="D2" s="16">
        <v>32686566</v>
      </c>
    </row>
    <row r="3" spans="1:5" x14ac:dyDescent="0.3">
      <c r="A3" s="15" t="s">
        <v>55</v>
      </c>
      <c r="B3" s="16">
        <v>19722096</v>
      </c>
      <c r="C3" s="16">
        <v>24048355</v>
      </c>
      <c r="D3" s="16">
        <v>24602261</v>
      </c>
    </row>
    <row r="4" spans="1:5" x14ac:dyDescent="0.3">
      <c r="A4" s="6" t="s">
        <v>56</v>
      </c>
      <c r="B4" s="17">
        <f>B2-B3</f>
        <v>3814702</v>
      </c>
      <c r="C4" s="17">
        <f>C2-C3</f>
        <v>5000305</v>
      </c>
      <c r="D4" s="17">
        <f>D2-D3</f>
        <v>8084305</v>
      </c>
    </row>
    <row r="5" spans="1:5" x14ac:dyDescent="0.3">
      <c r="A5" s="15" t="s">
        <v>57</v>
      </c>
      <c r="B5" s="16">
        <v>0</v>
      </c>
      <c r="C5" s="16">
        <v>0</v>
      </c>
      <c r="D5" s="16">
        <v>0</v>
      </c>
    </row>
    <row r="6" spans="1:5" x14ac:dyDescent="0.3">
      <c r="A6" s="15" t="s">
        <v>58</v>
      </c>
      <c r="B6" s="16">
        <v>2490861</v>
      </c>
      <c r="C6" s="16">
        <v>2908989</v>
      </c>
      <c r="D6" s="16">
        <v>3033613</v>
      </c>
    </row>
    <row r="7" spans="1:5" x14ac:dyDescent="0.3">
      <c r="A7" s="6" t="s">
        <v>59</v>
      </c>
      <c r="B7" s="17">
        <f>B4-B5-B6</f>
        <v>1323841</v>
      </c>
      <c r="C7" s="17">
        <f>C4-C5-C6</f>
        <v>2091316</v>
      </c>
      <c r="D7" s="17">
        <f>D4-D5-D6</f>
        <v>5050692</v>
      </c>
    </row>
    <row r="8" spans="1:5" x14ac:dyDescent="0.3">
      <c r="A8" s="15" t="s">
        <v>60</v>
      </c>
      <c r="B8" s="16">
        <v>993</v>
      </c>
      <c r="C8" s="16">
        <v>666</v>
      </c>
      <c r="D8" s="16">
        <v>0</v>
      </c>
    </row>
    <row r="9" spans="1:5" x14ac:dyDescent="0.3">
      <c r="A9" s="15" t="s">
        <v>61</v>
      </c>
      <c r="B9" s="16">
        <v>151</v>
      </c>
      <c r="C9" s="16">
        <v>1109</v>
      </c>
      <c r="D9" s="16">
        <v>0</v>
      </c>
    </row>
    <row r="10" spans="1:5" x14ac:dyDescent="0.3">
      <c r="A10" s="15" t="s">
        <v>62</v>
      </c>
      <c r="B10" s="16">
        <v>0</v>
      </c>
      <c r="C10" s="16">
        <v>40811</v>
      </c>
      <c r="D10" s="16">
        <v>38461</v>
      </c>
    </row>
    <row r="11" spans="1:5" x14ac:dyDescent="0.3">
      <c r="A11" s="4" t="s">
        <v>63</v>
      </c>
      <c r="B11" s="18">
        <v>722005</v>
      </c>
      <c r="C11" s="18">
        <v>13144679</v>
      </c>
      <c r="D11" s="18">
        <v>1197778</v>
      </c>
    </row>
    <row r="12" spans="1:5" ht="41.4" x14ac:dyDescent="0.3">
      <c r="A12" s="19" t="s">
        <v>64</v>
      </c>
      <c r="B12" s="20"/>
      <c r="C12" s="20"/>
      <c r="D12" s="20"/>
    </row>
    <row r="13" spans="1:5" ht="27.6" x14ac:dyDescent="0.3">
      <c r="A13" s="19" t="s">
        <v>65</v>
      </c>
      <c r="B13" s="20"/>
      <c r="C13" s="20"/>
      <c r="D13" s="20"/>
    </row>
    <row r="14" spans="1:5" x14ac:dyDescent="0.3">
      <c r="A14" s="19" t="s">
        <v>66</v>
      </c>
      <c r="B14" s="20"/>
      <c r="C14" s="20"/>
      <c r="D14" s="20"/>
    </row>
    <row r="15" spans="1:5" x14ac:dyDescent="0.3">
      <c r="A15" s="19" t="s">
        <v>67</v>
      </c>
      <c r="B15" s="20"/>
      <c r="C15" s="20"/>
      <c r="D15" s="20"/>
    </row>
    <row r="16" spans="1:5" x14ac:dyDescent="0.3">
      <c r="A16" s="4" t="s">
        <v>68</v>
      </c>
      <c r="B16" s="18">
        <v>926880</v>
      </c>
      <c r="C16" s="18">
        <v>26709771</v>
      </c>
      <c r="D16" s="18">
        <v>1625173</v>
      </c>
      <c r="E16" s="2">
        <f>C16/B16</f>
        <v>28.81685978767478</v>
      </c>
    </row>
    <row r="17" spans="1:4" x14ac:dyDescent="0.3">
      <c r="A17" s="19" t="s">
        <v>69</v>
      </c>
      <c r="B17" s="20"/>
      <c r="C17" s="20"/>
      <c r="D17" s="20"/>
    </row>
    <row r="18" spans="1:4" ht="27.6" x14ac:dyDescent="0.3">
      <c r="A18" s="19" t="s">
        <v>70</v>
      </c>
      <c r="B18" s="20"/>
      <c r="C18" s="20"/>
      <c r="D18" s="20"/>
    </row>
    <row r="19" spans="1:4" x14ac:dyDescent="0.3">
      <c r="A19" s="19" t="s">
        <v>66</v>
      </c>
      <c r="B19" s="20"/>
      <c r="C19" s="20"/>
      <c r="D19" s="20"/>
    </row>
    <row r="20" spans="1:4" x14ac:dyDescent="0.3">
      <c r="A20" s="19" t="s">
        <v>71</v>
      </c>
      <c r="B20" s="20"/>
      <c r="C20" s="20"/>
      <c r="D20" s="20"/>
    </row>
    <row r="21" spans="1:4" x14ac:dyDescent="0.3">
      <c r="A21" s="19" t="s">
        <v>72</v>
      </c>
      <c r="B21" s="20"/>
      <c r="C21" s="20"/>
      <c r="D21" s="20"/>
    </row>
    <row r="22" spans="1:4" x14ac:dyDescent="0.3">
      <c r="A22" s="6" t="s">
        <v>73</v>
      </c>
      <c r="B22" s="17">
        <f>B7-B10+B11-B16+B9+B8</f>
        <v>1120110</v>
      </c>
      <c r="C22" s="17">
        <f>C7-C10+C11-C16+C9+C8</f>
        <v>-11512812</v>
      </c>
      <c r="D22" s="17">
        <f>D7-D10+D11-D16+D9+D8</f>
        <v>4584836</v>
      </c>
    </row>
    <row r="23" spans="1:4" x14ac:dyDescent="0.3">
      <c r="A23" s="15" t="s">
        <v>74</v>
      </c>
      <c r="B23" s="16">
        <v>148844</v>
      </c>
      <c r="C23" s="16">
        <v>165798</v>
      </c>
      <c r="D23" s="16">
        <v>1054153</v>
      </c>
    </row>
    <row r="24" spans="1:4" x14ac:dyDescent="0.3">
      <c r="A24" s="19" t="s">
        <v>75</v>
      </c>
      <c r="B24" s="16">
        <v>-427983</v>
      </c>
      <c r="C24" s="16">
        <v>-544832</v>
      </c>
      <c r="D24" s="16">
        <v>-966983</v>
      </c>
    </row>
    <row r="25" spans="1:4" x14ac:dyDescent="0.3">
      <c r="A25" s="19" t="s">
        <v>76</v>
      </c>
      <c r="B25" s="16">
        <v>69889</v>
      </c>
      <c r="C25" s="16">
        <v>374183</v>
      </c>
      <c r="D25" s="16">
        <v>-89477</v>
      </c>
    </row>
    <row r="26" spans="1:4" x14ac:dyDescent="0.3">
      <c r="A26" s="15" t="s">
        <v>77</v>
      </c>
      <c r="B26" s="16">
        <v>1703</v>
      </c>
      <c r="C26" s="16">
        <v>2770</v>
      </c>
      <c r="D26" s="16">
        <v>1175</v>
      </c>
    </row>
    <row r="27" spans="1:4" x14ac:dyDescent="0.3">
      <c r="A27" s="6" t="s">
        <v>78</v>
      </c>
      <c r="B27" s="17">
        <v>960596</v>
      </c>
      <c r="C27" s="17">
        <v>-11658974</v>
      </c>
      <c r="D27" s="17">
        <v>3531454</v>
      </c>
    </row>
    <row r="28" spans="1:4" ht="41.4" x14ac:dyDescent="0.3">
      <c r="A28" s="15" t="s">
        <v>79</v>
      </c>
      <c r="B28" s="16"/>
      <c r="C28" s="16"/>
      <c r="D28" s="16"/>
    </row>
    <row r="29" spans="1:4" ht="41.4" x14ac:dyDescent="0.3">
      <c r="A29" s="15" t="s">
        <v>80</v>
      </c>
      <c r="B29" s="16"/>
      <c r="C29" s="16"/>
      <c r="D29" s="16"/>
    </row>
    <row r="30" spans="1:4" ht="41.4" x14ac:dyDescent="0.3">
      <c r="A30" s="15" t="s">
        <v>81</v>
      </c>
      <c r="B30" s="16"/>
      <c r="C30" s="16"/>
      <c r="D30" s="16"/>
    </row>
    <row r="31" spans="1:4" x14ac:dyDescent="0.3">
      <c r="A31" s="15" t="s">
        <v>82</v>
      </c>
      <c r="B31" s="16">
        <v>960596</v>
      </c>
      <c r="C31" s="16">
        <v>-11658974</v>
      </c>
      <c r="D31" s="16">
        <v>3531454</v>
      </c>
    </row>
    <row r="32" spans="1:4" x14ac:dyDescent="0.3">
      <c r="A32" s="15" t="s">
        <v>83</v>
      </c>
      <c r="B32" s="16"/>
      <c r="C32" s="16"/>
      <c r="D32" s="16"/>
    </row>
    <row r="33" spans="1:4" x14ac:dyDescent="0.3">
      <c r="A33" s="15" t="s">
        <v>84</v>
      </c>
      <c r="B33" s="16"/>
      <c r="C33" s="16"/>
      <c r="D33" s="16"/>
    </row>
    <row r="34" spans="1:4" x14ac:dyDescent="0.3">
      <c r="A34" s="15" t="s">
        <v>85</v>
      </c>
      <c r="B34" s="16"/>
      <c r="C34" s="16"/>
      <c r="D3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ББ</vt:lpstr>
      <vt:lpstr>ОФР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user</cp:lastModifiedBy>
  <dcterms:created xsi:type="dcterms:W3CDTF">2015-06-05T18:19:34Z</dcterms:created>
  <dcterms:modified xsi:type="dcterms:W3CDTF">2025-10-29T18:55:02Z</dcterms:modified>
</cp:coreProperties>
</file>